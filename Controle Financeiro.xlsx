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 activeTab="1"/>
  </bookViews>
  <sheets>
    <sheet name="Tabela Dinâmica" sheetId="3" r:id="rId1"/>
    <sheet name="Controle Finanças" sheetId="1" r:id="rId2"/>
  </sheets>
  <calcPr calcId="162913"/>
  <pivotCaches>
    <pivotCache cacheId="4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D15" i="1"/>
  <c r="B15" i="1"/>
</calcChain>
</file>

<file path=xl/sharedStrings.xml><?xml version="1.0" encoding="utf-8"?>
<sst xmlns="http://schemas.openxmlformats.org/spreadsheetml/2006/main" count="53" uniqueCount="27">
  <si>
    <t>Data</t>
  </si>
  <si>
    <t>Histórico</t>
  </si>
  <si>
    <t>jan/25</t>
  </si>
  <si>
    <t>Salário</t>
  </si>
  <si>
    <t>Alimentação</t>
  </si>
  <si>
    <t>Transporte</t>
  </si>
  <si>
    <t>Lazer</t>
  </si>
  <si>
    <t>Saúde</t>
  </si>
  <si>
    <t>Educação</t>
  </si>
  <si>
    <t>Vestuário</t>
  </si>
  <si>
    <t>Serviços</t>
  </si>
  <si>
    <t>Utilidades Domésticas</t>
  </si>
  <si>
    <t>Beleza</t>
  </si>
  <si>
    <t>Pet Care</t>
  </si>
  <si>
    <t>Viagem</t>
  </si>
  <si>
    <t xml:space="preserve">Total </t>
  </si>
  <si>
    <t>Total</t>
  </si>
  <si>
    <t>Rendimentos Aplicação</t>
  </si>
  <si>
    <t>Salários/Receitas</t>
  </si>
  <si>
    <t xml:space="preserve">Despesas Fixas </t>
  </si>
  <si>
    <t>Despesas Variáveis</t>
  </si>
  <si>
    <t>Total Geral</t>
  </si>
  <si>
    <t>Rótulos de Linha</t>
  </si>
  <si>
    <t>Soma de Salários/Receitas</t>
  </si>
  <si>
    <t xml:space="preserve">Soma de Despesas Fixas </t>
  </si>
  <si>
    <t>Soma de Despesas Variáveis</t>
  </si>
  <si>
    <t>Salários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</si>
</sst>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8"/>
      <name val="Arial Narrow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7">
    <xf numFmtId="0" fontId="0" fillId="0" borderId="0" xfId="0"/>
    <xf numFmtId="164" fontId="3" fillId="4" borderId="0" xfId="0" applyNumberFormat="1" applyFont="1" applyFill="1"/>
    <xf numFmtId="44" fontId="3" fillId="5" borderId="0" xfId="1" applyFont="1" applyFill="1"/>
    <xf numFmtId="0" fontId="3" fillId="3" borderId="0" xfId="0" applyFont="1" applyFill="1"/>
    <xf numFmtId="0" fontId="4" fillId="3" borderId="1" xfId="2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right"/>
    </xf>
    <xf numFmtId="44" fontId="8" fillId="5" borderId="4" xfId="1" applyFont="1" applyFill="1" applyBorder="1"/>
    <xf numFmtId="44" fontId="8" fillId="5" borderId="2" xfId="1" applyFont="1" applyFill="1" applyBorder="1"/>
    <xf numFmtId="164" fontId="7" fillId="4" borderId="2" xfId="0" applyNumberFormat="1" applyFont="1" applyFill="1" applyBorder="1"/>
    <xf numFmtId="0" fontId="4" fillId="3" borderId="1" xfId="2" applyFont="1" applyFill="1" applyBorder="1" applyAlignment="1">
      <alignment horizontal="left" vertical="top"/>
    </xf>
    <xf numFmtId="0" fontId="3" fillId="3" borderId="0" xfId="0" applyFont="1" applyFill="1" applyAlignment="1">
      <alignment horizontal="left"/>
    </xf>
    <xf numFmtId="44" fontId="3" fillId="5" borderId="0" xfId="1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5" fillId="0" borderId="0" xfId="0" pivotButton="1" applyFont="1"/>
    <xf numFmtId="0" fontId="5" fillId="0" borderId="0" xfId="0" applyFont="1"/>
  </cellXfs>
  <cellStyles count="3">
    <cellStyle name="Ênfase1" xfId="2" builtinId="29"/>
    <cellStyle name="Moeda" xfId="1" builtinId="4"/>
    <cellStyle name="Normal" xfId="0" builtinId="0"/>
  </cellStyles>
  <dxfs count="12">
    <dxf>
      <numFmt numFmtId="2" formatCode="0.00"/>
    </dxf>
    <dxf>
      <numFmt numFmtId="2" formatCode="0.00"/>
    </dxf>
    <dxf>
      <numFmt numFmtId="35" formatCode="_-* #,##0.00_-;\-* #,##0.00_-;_-* &quot;-&quot;??_-;_-@_-"/>
    </dxf>
    <dxf>
      <font>
        <i/>
        <strike val="0"/>
        <outline val="0"/>
        <shadow val="0"/>
        <u val="none"/>
        <vertAlign val="baseline"/>
        <sz val="12"/>
        <color theme="8"/>
        <name val="Arial Narrow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5" tint="0.59999389629810485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1" baseline="0"/>
              <a:t>Despesas Fixas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'Controle Finanças'!$C$4:$C$14</c:f>
              <c:strCache>
                <c:ptCount val="11"/>
                <c:pt idx="0">
                  <c:v>Alimentação</c:v>
                </c:pt>
                <c:pt idx="1">
                  <c:v>Transporte</c:v>
                </c:pt>
                <c:pt idx="2">
                  <c:v>Lazer</c:v>
                </c:pt>
                <c:pt idx="3">
                  <c:v>Saúde</c:v>
                </c:pt>
                <c:pt idx="4">
                  <c:v>Educação</c:v>
                </c:pt>
                <c:pt idx="5">
                  <c:v>Vestuário</c:v>
                </c:pt>
                <c:pt idx="6">
                  <c:v>Serviços</c:v>
                </c:pt>
                <c:pt idx="7">
                  <c:v>Utilidades Domésticas</c:v>
                </c:pt>
                <c:pt idx="8">
                  <c:v>Beleza</c:v>
                </c:pt>
                <c:pt idx="9">
                  <c:v>Pet Care</c:v>
                </c:pt>
                <c:pt idx="10">
                  <c:v>Viagem</c:v>
                </c:pt>
              </c:strCache>
            </c:strRef>
          </c:cat>
          <c:val>
            <c:numRef>
              <c:f>'Controle Finanças'!$D$4:$D$14</c:f>
              <c:numCache>
                <c:formatCode>_("R$"* #,##0.00_);_("R$"* \(#,##0.00\);_("R$"* "-"??_);_(@_)</c:formatCode>
                <c:ptCount val="11"/>
                <c:pt idx="0">
                  <c:v>2000</c:v>
                </c:pt>
                <c:pt idx="1">
                  <c:v>500</c:v>
                </c:pt>
                <c:pt idx="2">
                  <c:v>0</c:v>
                </c:pt>
                <c:pt idx="3">
                  <c:v>300</c:v>
                </c:pt>
                <c:pt idx="4">
                  <c:v>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1-4DD8-BDA2-E445502F5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1"/>
              <a:t>Despesas</a:t>
            </a:r>
            <a:r>
              <a:rPr lang="pt-BR" sz="1800" b="1" i="1" baseline="0"/>
              <a:t> Variáveis</a:t>
            </a:r>
            <a:endParaRPr lang="pt-BR" sz="1800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'Controle Finanças'!$C$4:$C$14</c:f>
              <c:strCache>
                <c:ptCount val="11"/>
                <c:pt idx="0">
                  <c:v>Alimentação</c:v>
                </c:pt>
                <c:pt idx="1">
                  <c:v>Transporte</c:v>
                </c:pt>
                <c:pt idx="2">
                  <c:v>Lazer</c:v>
                </c:pt>
                <c:pt idx="3">
                  <c:v>Saúde</c:v>
                </c:pt>
                <c:pt idx="4">
                  <c:v>Educação</c:v>
                </c:pt>
                <c:pt idx="5">
                  <c:v>Vestuário</c:v>
                </c:pt>
                <c:pt idx="6">
                  <c:v>Serviços</c:v>
                </c:pt>
                <c:pt idx="7">
                  <c:v>Utilidades Domésticas</c:v>
                </c:pt>
                <c:pt idx="8">
                  <c:v>Beleza</c:v>
                </c:pt>
                <c:pt idx="9">
                  <c:v>Pet Care</c:v>
                </c:pt>
                <c:pt idx="10">
                  <c:v>Viagem</c:v>
                </c:pt>
              </c:strCache>
            </c:strRef>
          </c:cat>
          <c:val>
            <c:numRef>
              <c:f>'Controle Finanças'!$E$4:$E$14</c:f>
              <c:numCache>
                <c:formatCode>_("R$"* #,##0.00_);_("R$"* \(#,##0.00\);_("R$"* "-"??_);_(@_)</c:formatCode>
                <c:ptCount val="11"/>
                <c:pt idx="0">
                  <c:v>200</c:v>
                </c:pt>
                <c:pt idx="1">
                  <c:v>150</c:v>
                </c:pt>
                <c:pt idx="2">
                  <c:v>250</c:v>
                </c:pt>
                <c:pt idx="3">
                  <c:v>0</c:v>
                </c:pt>
                <c:pt idx="4">
                  <c:v>100</c:v>
                </c:pt>
                <c:pt idx="5">
                  <c:v>150</c:v>
                </c:pt>
                <c:pt idx="6">
                  <c:v>100</c:v>
                </c:pt>
                <c:pt idx="7">
                  <c:v>150</c:v>
                </c:pt>
                <c:pt idx="8">
                  <c:v>100</c:v>
                </c:pt>
                <c:pt idx="9">
                  <c:v>0</c:v>
                </c:pt>
                <c:pt idx="1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D-4A50-B228-110988418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i="1"/>
              <a:t>RECEITAS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'Controle Finanças'!$C$2:$C$3</c15:sqref>
                  </c15:fullRef>
                </c:ext>
              </c:extLst>
              <c:f>'Controle Finanças'!$C$2:$C$3</c:f>
              <c:strCache>
                <c:ptCount val="2"/>
                <c:pt idx="0">
                  <c:v>Salários</c:v>
                </c:pt>
                <c:pt idx="1">
                  <c:v>Rendimentos Aplicação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'Controle Finanças'!$B$2:$B$15</c15:sqref>
                  </c15:fullRef>
                </c:ext>
              </c:extLst>
              <c:f>'Controle Finanças'!$B$2:$B$3</c:f>
              <c:numCache>
                <c:formatCode>_-[$R$-416]\ * #,##0.00_-;\-[$R$-416]\ * #,##0.00_-;_-[$R$-416]\ * "-"??_-;_-@_-</c:formatCode>
                <c:ptCount val="2"/>
                <c:pt idx="0">
                  <c:v>6500</c:v>
                </c:pt>
                <c:pt idx="1">
                  <c:v>500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00B3-4AE4-AE94-2BE4D9558B26}"/>
            </c:ext>
          </c:extLst>
        </c:ser>
        <c:ser>
          <c:idx val="1"/>
          <c:order val="1"/>
          <c:tx>
            <c:v>Rendimentos Aplicação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'Controle Finanças'!$C$2:$C$3</c15:sqref>
                  </c15:fullRef>
                </c:ext>
              </c:extLst>
              <c:f>'Controle Finanças'!$C$2:$C$3</c:f>
              <c:strCache>
                <c:ptCount val="2"/>
                <c:pt idx="0">
                  <c:v>Salários</c:v>
                </c:pt>
                <c:pt idx="1">
                  <c:v>Rendimentos Aplicação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B3-4AE4-AE94-2BE4D9558B2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267235345581807"/>
          <c:y val="0.15319444444444447"/>
          <c:w val="0.3768772965879264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15</xdr:row>
      <xdr:rowOff>0</xdr:rowOff>
    </xdr:from>
    <xdr:to>
      <xdr:col>13</xdr:col>
      <xdr:colOff>295275</xdr:colOff>
      <xdr:row>29</xdr:row>
      <xdr:rowOff>76200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30</xdr:row>
      <xdr:rowOff>9525</xdr:rowOff>
    </xdr:from>
    <xdr:to>
      <xdr:col>13</xdr:col>
      <xdr:colOff>295275</xdr:colOff>
      <xdr:row>44</xdr:row>
      <xdr:rowOff>85725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590550</xdr:colOff>
      <xdr:row>0</xdr:row>
      <xdr:rowOff>133350</xdr:rowOff>
    </xdr:from>
    <xdr:to>
      <xdr:col>13</xdr:col>
      <xdr:colOff>285750</xdr:colOff>
      <xdr:row>14</xdr:row>
      <xdr:rowOff>66675</xdr:rowOff>
    </xdr:to>
    <xdr:graphicFrame macro="">
      <xdr:nvGraphicFramePr>
        <xdr:cNvPr id="32" name="Gráfico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5669.970267592595" createdVersion="6" refreshedVersion="6" minRefreshableVersion="3" recordCount="14">
  <cacheSource type="worksheet">
    <worksheetSource name="Tabela2"/>
  </cacheSource>
  <cacheFields count="5">
    <cacheField name="Data" numFmtId="0">
      <sharedItems count="2">
        <s v="jan/25"/>
        <s v="Total "/>
      </sharedItems>
    </cacheField>
    <cacheField name="Salários/Receitas" numFmtId="164">
      <sharedItems containsSemiMixedTypes="0" containsString="0" containsNumber="1" containsInteger="1" minValue="0" maxValue="7000" count="4">
        <n v="6500"/>
        <n v="500"/>
        <n v="0"/>
        <n v="7000"/>
      </sharedItems>
    </cacheField>
    <cacheField name="Histórico" numFmtId="0">
      <sharedItems count="14">
        <s v="Salário"/>
        <s v="Rendimentos Aplicação"/>
        <s v="Alimentação"/>
        <s v="Transporte"/>
        <s v="Lazer"/>
        <s v="Saúde"/>
        <s v="Educação"/>
        <s v="Vestuário"/>
        <s v="Serviços"/>
        <s v="Utilidades Domésticas"/>
        <s v="Beleza"/>
        <s v="Pet Care"/>
        <s v="Viagem"/>
        <s v="Total"/>
      </sharedItems>
    </cacheField>
    <cacheField name="Despesas Fixas " numFmtId="44">
      <sharedItems containsSemiMixedTypes="0" containsString="0" containsNumber="1" containsInteger="1" minValue="0" maxValue="3380" count="6">
        <n v="0"/>
        <n v="2000"/>
        <n v="500"/>
        <n v="300"/>
        <n v="80"/>
        <n v="3380"/>
      </sharedItems>
    </cacheField>
    <cacheField name="Despesas Variáveis" numFmtId="44">
      <sharedItems containsSemiMixedTypes="0" containsString="0" containsNumber="1" containsInteger="1" minValue="0" maxValue="1900" count="7">
        <n v="0"/>
        <n v="200"/>
        <n v="150"/>
        <n v="250"/>
        <n v="100"/>
        <n v="700"/>
        <n v="19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x v="0"/>
    <x v="0"/>
    <x v="0"/>
  </r>
  <r>
    <x v="0"/>
    <x v="1"/>
    <x v="1"/>
    <x v="0"/>
    <x v="0"/>
  </r>
  <r>
    <x v="0"/>
    <x v="2"/>
    <x v="2"/>
    <x v="1"/>
    <x v="1"/>
  </r>
  <r>
    <x v="0"/>
    <x v="2"/>
    <x v="3"/>
    <x v="2"/>
    <x v="2"/>
  </r>
  <r>
    <x v="0"/>
    <x v="2"/>
    <x v="4"/>
    <x v="0"/>
    <x v="3"/>
  </r>
  <r>
    <x v="0"/>
    <x v="2"/>
    <x v="5"/>
    <x v="3"/>
    <x v="0"/>
  </r>
  <r>
    <x v="0"/>
    <x v="2"/>
    <x v="6"/>
    <x v="2"/>
    <x v="4"/>
  </r>
  <r>
    <x v="0"/>
    <x v="2"/>
    <x v="7"/>
    <x v="0"/>
    <x v="2"/>
  </r>
  <r>
    <x v="0"/>
    <x v="2"/>
    <x v="8"/>
    <x v="0"/>
    <x v="4"/>
  </r>
  <r>
    <x v="0"/>
    <x v="2"/>
    <x v="9"/>
    <x v="0"/>
    <x v="2"/>
  </r>
  <r>
    <x v="0"/>
    <x v="2"/>
    <x v="10"/>
    <x v="0"/>
    <x v="4"/>
  </r>
  <r>
    <x v="0"/>
    <x v="2"/>
    <x v="11"/>
    <x v="4"/>
    <x v="0"/>
  </r>
  <r>
    <x v="0"/>
    <x v="2"/>
    <x v="12"/>
    <x v="0"/>
    <x v="5"/>
  </r>
  <r>
    <x v="1"/>
    <x v="3"/>
    <x v="13"/>
    <x v="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8" cacheId="4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A3:D17" firstHeaderRow="0" firstDataRow="1" firstDataCol="1" rowPageCount="1" colPageCount="1"/>
  <pivotFields count="5">
    <pivotField axis="axisPage" multipleItemSelectionAllowed="1" showAll="0">
      <items count="3">
        <item x="0"/>
        <item h="1" x="1"/>
        <item t="default"/>
      </items>
    </pivotField>
    <pivotField dataField="1" numFmtId="164" showAll="0">
      <items count="5">
        <item h="1" x="2"/>
        <item x="1"/>
        <item x="0"/>
        <item h="1" x="3"/>
        <item t="default"/>
      </items>
    </pivotField>
    <pivotField axis="axisRow" showAll="0">
      <items count="15">
        <item x="2"/>
        <item x="10"/>
        <item x="6"/>
        <item x="4"/>
        <item x="11"/>
        <item x="1"/>
        <item x="0"/>
        <item x="5"/>
        <item x="8"/>
        <item x="13"/>
        <item x="3"/>
        <item x="9"/>
        <item x="7"/>
        <item x="12"/>
        <item t="default"/>
      </items>
    </pivotField>
    <pivotField dataField="1" numFmtId="44" showAll="0">
      <items count="7">
        <item h="1" x="0"/>
        <item x="4"/>
        <item x="3"/>
        <item x="2"/>
        <item x="1"/>
        <item x="5"/>
        <item t="default"/>
      </items>
    </pivotField>
    <pivotField dataField="1" numFmtId="44" showAll="0">
      <items count="8">
        <item h="1" x="0"/>
        <item x="4"/>
        <item x="2"/>
        <item x="1"/>
        <item x="3"/>
        <item x="5"/>
        <item x="6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oma de Salários/Receitas" fld="1" baseField="2" baseItem="5" numFmtId="165"/>
    <dataField name="Soma de Despesas Fixas " fld="3" baseField="0" baseItem="0"/>
    <dataField name="Soma de Despesas Variáveis" fld="4" baseField="0" baseItem="0"/>
  </dataFields>
  <formats count="3">
    <format dxfId="0">
      <pivotArea collapsedLevelsAreSubtotals="1" fieldPosition="0">
        <references count="2">
          <reference field="4294967294" count="1" selected="0">
            <x v="0"/>
          </reference>
          <reference field="2" count="2">
            <x v="5"/>
            <x v="6"/>
          </reference>
        </references>
      </pivotArea>
    </format>
    <format dxfId="1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2" displayName="Tabela2" ref="A1:E15" totalsRowShown="0" headerRowDxfId="3" dataDxfId="11" headerRowBorderDxfId="9" tableBorderDxfId="10" headerRowCellStyle="Ênfase1">
  <autoFilter ref="A1:E15"/>
  <tableColumns count="5">
    <tableColumn id="1" name="Data" dataDxfId="7"/>
    <tableColumn id="2" name="Salários/Receitas" dataDxfId="6"/>
    <tableColumn id="3" name="Histórico" dataDxfId="4"/>
    <tableColumn id="4" name="Despesas Fixas " dataDxfId="5" dataCellStyle="Moeda"/>
    <tableColumn id="5" name="Despesas Variáveis" dataDxfId="8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12" sqref="A12"/>
    </sheetView>
  </sheetViews>
  <sheetFormatPr defaultRowHeight="15" x14ac:dyDescent="0.25"/>
  <cols>
    <col min="1" max="1" width="22.140625" customWidth="1"/>
    <col min="2" max="2" width="24.5703125" customWidth="1"/>
    <col min="3" max="3" width="23" bestFit="1" customWidth="1"/>
    <col min="4" max="4" width="26.42578125" bestFit="1" customWidth="1"/>
  </cols>
  <sheetData>
    <row r="1" spans="1:4" ht="21" x14ac:dyDescent="0.35">
      <c r="A1" s="15" t="s">
        <v>0</v>
      </c>
      <c r="B1" s="16" t="s">
        <v>2</v>
      </c>
    </row>
    <row r="3" spans="1:4" x14ac:dyDescent="0.25">
      <c r="A3" s="12" t="s">
        <v>22</v>
      </c>
      <c r="B3" t="s">
        <v>23</v>
      </c>
      <c r="C3" t="s">
        <v>24</v>
      </c>
      <c r="D3" t="s">
        <v>25</v>
      </c>
    </row>
    <row r="4" spans="1:4" x14ac:dyDescent="0.25">
      <c r="A4" s="13" t="s">
        <v>4</v>
      </c>
      <c r="B4" s="14">
        <v>0</v>
      </c>
      <c r="C4" s="14">
        <v>2000</v>
      </c>
      <c r="D4" s="14">
        <v>200</v>
      </c>
    </row>
    <row r="5" spans="1:4" x14ac:dyDescent="0.25">
      <c r="A5" s="13" t="s">
        <v>12</v>
      </c>
      <c r="B5" s="14">
        <v>0</v>
      </c>
      <c r="C5" s="14">
        <v>0</v>
      </c>
      <c r="D5" s="14">
        <v>100</v>
      </c>
    </row>
    <row r="6" spans="1:4" x14ac:dyDescent="0.25">
      <c r="A6" s="13" t="s">
        <v>8</v>
      </c>
      <c r="B6" s="14">
        <v>0</v>
      </c>
      <c r="C6" s="14">
        <v>500</v>
      </c>
      <c r="D6" s="14">
        <v>100</v>
      </c>
    </row>
    <row r="7" spans="1:4" x14ac:dyDescent="0.25">
      <c r="A7" s="13" t="s">
        <v>6</v>
      </c>
      <c r="B7" s="14">
        <v>0</v>
      </c>
      <c r="C7" s="14">
        <v>0</v>
      </c>
      <c r="D7" s="14">
        <v>250</v>
      </c>
    </row>
    <row r="8" spans="1:4" x14ac:dyDescent="0.25">
      <c r="A8" s="13" t="s">
        <v>13</v>
      </c>
      <c r="B8" s="14">
        <v>0</v>
      </c>
      <c r="C8" s="14">
        <v>80</v>
      </c>
      <c r="D8" s="14">
        <v>0</v>
      </c>
    </row>
    <row r="9" spans="1:4" x14ac:dyDescent="0.25">
      <c r="A9" s="13" t="s">
        <v>17</v>
      </c>
      <c r="B9" s="14">
        <v>500</v>
      </c>
      <c r="C9" s="14">
        <v>0</v>
      </c>
      <c r="D9" s="14">
        <v>0</v>
      </c>
    </row>
    <row r="10" spans="1:4" x14ac:dyDescent="0.25">
      <c r="A10" s="13" t="s">
        <v>3</v>
      </c>
      <c r="B10" s="14">
        <v>6500</v>
      </c>
      <c r="C10" s="14">
        <v>0</v>
      </c>
      <c r="D10" s="14">
        <v>0</v>
      </c>
    </row>
    <row r="11" spans="1:4" x14ac:dyDescent="0.25">
      <c r="A11" s="13" t="s">
        <v>7</v>
      </c>
      <c r="B11" s="14">
        <v>0</v>
      </c>
      <c r="C11" s="14">
        <v>300</v>
      </c>
      <c r="D11" s="14">
        <v>0</v>
      </c>
    </row>
    <row r="12" spans="1:4" x14ac:dyDescent="0.25">
      <c r="A12" s="13" t="s">
        <v>10</v>
      </c>
      <c r="B12" s="14">
        <v>0</v>
      </c>
      <c r="C12" s="14">
        <v>0</v>
      </c>
      <c r="D12" s="14">
        <v>100</v>
      </c>
    </row>
    <row r="13" spans="1:4" x14ac:dyDescent="0.25">
      <c r="A13" s="13" t="s">
        <v>5</v>
      </c>
      <c r="B13" s="14">
        <v>0</v>
      </c>
      <c r="C13" s="14">
        <v>500</v>
      </c>
      <c r="D13" s="14">
        <v>150</v>
      </c>
    </row>
    <row r="14" spans="1:4" x14ac:dyDescent="0.25">
      <c r="A14" s="13" t="s">
        <v>11</v>
      </c>
      <c r="B14" s="14">
        <v>0</v>
      </c>
      <c r="C14" s="14">
        <v>0</v>
      </c>
      <c r="D14" s="14">
        <v>150</v>
      </c>
    </row>
    <row r="15" spans="1:4" x14ac:dyDescent="0.25">
      <c r="A15" s="13" t="s">
        <v>9</v>
      </c>
      <c r="B15" s="14">
        <v>0</v>
      </c>
      <c r="C15" s="14">
        <v>0</v>
      </c>
      <c r="D15" s="14">
        <v>150</v>
      </c>
    </row>
    <row r="16" spans="1:4" x14ac:dyDescent="0.25">
      <c r="A16" s="13" t="s">
        <v>14</v>
      </c>
      <c r="B16" s="14">
        <v>0</v>
      </c>
      <c r="C16" s="14">
        <v>0</v>
      </c>
      <c r="D16" s="14">
        <v>700</v>
      </c>
    </row>
    <row r="17" spans="1:4" x14ac:dyDescent="0.25">
      <c r="A17" s="13" t="s">
        <v>21</v>
      </c>
      <c r="B17" s="14">
        <v>7000</v>
      </c>
      <c r="C17" s="14">
        <v>3380</v>
      </c>
      <c r="D17" s="14">
        <v>1900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N16" sqref="N16"/>
    </sheetView>
  </sheetViews>
  <sheetFormatPr defaultRowHeight="15" x14ac:dyDescent="0.25"/>
  <cols>
    <col min="1" max="1" width="10.140625" bestFit="1" customWidth="1"/>
    <col min="2" max="2" width="21.140625" bestFit="1" customWidth="1"/>
    <col min="3" max="3" width="25.140625" bestFit="1" customWidth="1"/>
    <col min="4" max="5" width="23.5703125" customWidth="1"/>
  </cols>
  <sheetData>
    <row r="1" spans="1:5" ht="15.75" x14ac:dyDescent="0.25">
      <c r="A1" s="9" t="s">
        <v>0</v>
      </c>
      <c r="B1" s="4" t="s">
        <v>18</v>
      </c>
      <c r="C1" s="9" t="s">
        <v>1</v>
      </c>
      <c r="D1" s="4" t="s">
        <v>19</v>
      </c>
      <c r="E1" s="4" t="s">
        <v>20</v>
      </c>
    </row>
    <row r="2" spans="1:5" ht="15.75" x14ac:dyDescent="0.25">
      <c r="A2" s="3" t="s">
        <v>2</v>
      </c>
      <c r="B2" s="1">
        <v>6500</v>
      </c>
      <c r="C2" s="10" t="s">
        <v>26</v>
      </c>
      <c r="D2" s="11">
        <v>0</v>
      </c>
      <c r="E2" s="2">
        <v>0</v>
      </c>
    </row>
    <row r="3" spans="1:5" ht="15.75" x14ac:dyDescent="0.25">
      <c r="A3" s="3" t="s">
        <v>2</v>
      </c>
      <c r="B3" s="1">
        <v>500</v>
      </c>
      <c r="C3" s="10" t="s">
        <v>17</v>
      </c>
      <c r="D3" s="11">
        <v>0</v>
      </c>
      <c r="E3" s="2">
        <v>0</v>
      </c>
    </row>
    <row r="4" spans="1:5" ht="15.75" x14ac:dyDescent="0.25">
      <c r="A4" s="3" t="s">
        <v>2</v>
      </c>
      <c r="B4" s="1">
        <v>0</v>
      </c>
      <c r="C4" s="10" t="s">
        <v>4</v>
      </c>
      <c r="D4" s="11">
        <v>2000</v>
      </c>
      <c r="E4" s="2">
        <v>200</v>
      </c>
    </row>
    <row r="5" spans="1:5" ht="15.75" x14ac:dyDescent="0.25">
      <c r="A5" s="3" t="s">
        <v>2</v>
      </c>
      <c r="B5" s="1">
        <v>0</v>
      </c>
      <c r="C5" s="10" t="s">
        <v>5</v>
      </c>
      <c r="D5" s="11">
        <v>500</v>
      </c>
      <c r="E5" s="2">
        <v>150</v>
      </c>
    </row>
    <row r="6" spans="1:5" ht="15.75" x14ac:dyDescent="0.25">
      <c r="A6" s="3" t="s">
        <v>2</v>
      </c>
      <c r="B6" s="1">
        <v>0</v>
      </c>
      <c r="C6" s="10" t="s">
        <v>6</v>
      </c>
      <c r="D6" s="11">
        <v>0</v>
      </c>
      <c r="E6" s="2">
        <v>250</v>
      </c>
    </row>
    <row r="7" spans="1:5" ht="15.75" x14ac:dyDescent="0.25">
      <c r="A7" s="3" t="s">
        <v>2</v>
      </c>
      <c r="B7" s="1">
        <v>0</v>
      </c>
      <c r="C7" s="10" t="s">
        <v>7</v>
      </c>
      <c r="D7" s="11">
        <v>300</v>
      </c>
      <c r="E7" s="2">
        <v>0</v>
      </c>
    </row>
    <row r="8" spans="1:5" ht="15.75" x14ac:dyDescent="0.25">
      <c r="A8" s="3" t="s">
        <v>2</v>
      </c>
      <c r="B8" s="1">
        <v>0</v>
      </c>
      <c r="C8" s="10" t="s">
        <v>8</v>
      </c>
      <c r="D8" s="11">
        <v>500</v>
      </c>
      <c r="E8" s="2">
        <v>100</v>
      </c>
    </row>
    <row r="9" spans="1:5" ht="15.75" x14ac:dyDescent="0.25">
      <c r="A9" s="3" t="s">
        <v>2</v>
      </c>
      <c r="B9" s="1">
        <v>0</v>
      </c>
      <c r="C9" s="10" t="s">
        <v>9</v>
      </c>
      <c r="D9" s="11">
        <v>0</v>
      </c>
      <c r="E9" s="2">
        <v>150</v>
      </c>
    </row>
    <row r="10" spans="1:5" ht="15.75" x14ac:dyDescent="0.25">
      <c r="A10" s="3" t="s">
        <v>2</v>
      </c>
      <c r="B10" s="1">
        <v>0</v>
      </c>
      <c r="C10" s="10" t="s">
        <v>10</v>
      </c>
      <c r="D10" s="11">
        <v>0</v>
      </c>
      <c r="E10" s="2">
        <v>100</v>
      </c>
    </row>
    <row r="11" spans="1:5" ht="15.75" x14ac:dyDescent="0.25">
      <c r="A11" s="3" t="s">
        <v>2</v>
      </c>
      <c r="B11" s="1">
        <v>0</v>
      </c>
      <c r="C11" s="10" t="s">
        <v>11</v>
      </c>
      <c r="D11" s="11">
        <v>0</v>
      </c>
      <c r="E11" s="2">
        <v>150</v>
      </c>
    </row>
    <row r="12" spans="1:5" ht="15.75" x14ac:dyDescent="0.25">
      <c r="A12" s="3" t="s">
        <v>2</v>
      </c>
      <c r="B12" s="1">
        <v>0</v>
      </c>
      <c r="C12" s="10" t="s">
        <v>12</v>
      </c>
      <c r="D12" s="11">
        <v>0</v>
      </c>
      <c r="E12" s="2">
        <v>100</v>
      </c>
    </row>
    <row r="13" spans="1:5" ht="15.75" x14ac:dyDescent="0.25">
      <c r="A13" s="3" t="s">
        <v>2</v>
      </c>
      <c r="B13" s="1">
        <v>0</v>
      </c>
      <c r="C13" s="10" t="s">
        <v>13</v>
      </c>
      <c r="D13" s="11">
        <v>80</v>
      </c>
      <c r="E13" s="2">
        <v>0</v>
      </c>
    </row>
    <row r="14" spans="1:5" ht="16.5" thickBot="1" x14ac:dyDescent="0.3">
      <c r="A14" s="3" t="s">
        <v>2</v>
      </c>
      <c r="B14" s="1">
        <v>0</v>
      </c>
      <c r="C14" s="10" t="s">
        <v>14</v>
      </c>
      <c r="D14" s="11">
        <v>0</v>
      </c>
      <c r="E14" s="2">
        <v>700</v>
      </c>
    </row>
    <row r="15" spans="1:5" ht="19.5" thickBot="1" x14ac:dyDescent="0.35">
      <c r="A15" s="5" t="s">
        <v>15</v>
      </c>
      <c r="B15" s="8">
        <f>SUBTOTAL(109,B2:B14)</f>
        <v>7000</v>
      </c>
      <c r="C15" s="5" t="s">
        <v>16</v>
      </c>
      <c r="D15" s="7">
        <f>SUBTOTAL(109,D3:D14)</f>
        <v>3380</v>
      </c>
      <c r="E15" s="6">
        <f>SUBTOTAL(109,E3:E14)</f>
        <v>1900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Dinâmica</vt:lpstr>
      <vt:lpstr>Controle Finanças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2025-01-13T02:53:20Z</dcterms:modified>
</cp:coreProperties>
</file>